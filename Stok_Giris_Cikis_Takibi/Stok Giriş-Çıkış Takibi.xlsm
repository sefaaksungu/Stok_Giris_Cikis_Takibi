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Projeler\Hazır\StokGirisCikisTakibi-VBA\"/>
    </mc:Choice>
  </mc:AlternateContent>
  <bookViews>
    <workbookView xWindow="0" yWindow="0" windowWidth="20490" windowHeight="7785" activeTab="2"/>
  </bookViews>
  <sheets>
    <sheet name="STOKLAR" sheetId="1" r:id="rId1"/>
    <sheet name="STOK HAREKETLERİ" sheetId="2" r:id="rId2"/>
    <sheet name="GİRİŞ-ÇIKIŞ" sheetId="3" r:id="rId3"/>
    <sheet name="SABİTLER" sheetId="4" r:id="rId4"/>
    <sheet name="Kayıt" sheetId="5" r:id="rId5"/>
  </sheets>
  <definedNames>
    <definedName name="_xlnm._FilterDatabase" localSheetId="2" hidden="1">'GİRİŞ-ÇIKIŞ'!$C$13:$I$13</definedName>
    <definedName name="_xlnm._FilterDatabase" localSheetId="1" hidden="1">'STOK HAREKETLERİ'!$A:$G</definedName>
    <definedName name="_xlnm._FilterDatabase" localSheetId="0" hidden="1">STOKLAR!$A$2:$H$2</definedName>
    <definedName name="_xlnm.Extract" localSheetId="2">'GİRİŞ-ÇIKIŞ'!$C$13:$I$13</definedName>
    <definedName name="Grupİsimleri">SABİTLER!$B:$B</definedName>
    <definedName name="KodListesi">SABİTLER!$F:$F</definedName>
    <definedName name="Kriter">'GİRİŞ-ÇIKIŞ'!$A$1:$G$2</definedName>
    <definedName name="ListeAdı">'STOK HAREKETLERİ'!$A:$G</definedName>
    <definedName name="_xlnm.Criteria" localSheetId="2">'GİRİŞ-ÇIKIŞ'!$A$1:$G$2</definedName>
    <definedName name="StokAdları">SABİTLER!$I:$I</definedName>
    <definedName name="StokBirimleri">SABİTLER!$J:$J</definedName>
    <definedName name="StokHListesi">'STOK HAREKETLERİ'!$B:$B</definedName>
    <definedName name="StokListesi">STOKLAR!$B:$H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5" l="1"/>
  <c r="F2" i="5"/>
  <c r="E2" i="5"/>
  <c r="B2" i="4"/>
  <c r="B3" i="4"/>
  <c r="B4" i="4"/>
  <c r="D4" i="3" s="1"/>
  <c r="E2" i="4" s="1"/>
  <c r="H2" i="4" s="1"/>
  <c r="B5" i="4"/>
  <c r="B6" i="4"/>
  <c r="B7" i="4"/>
  <c r="B8" i="4"/>
  <c r="B9" i="4"/>
  <c r="B10" i="4"/>
  <c r="B11" i="4"/>
  <c r="B12" i="4"/>
  <c r="B13" i="4"/>
  <c r="B14" i="4"/>
  <c r="B15" i="4"/>
  <c r="B1" i="4"/>
  <c r="A3" i="4"/>
  <c r="A4" i="4"/>
  <c r="A5" i="4"/>
  <c r="A6" i="4"/>
  <c r="A7" i="4"/>
  <c r="A8" i="4"/>
  <c r="A9" i="4"/>
  <c r="A10" i="4"/>
  <c r="A11" i="4"/>
  <c r="A2" i="4"/>
  <c r="A12" i="4"/>
  <c r="A13" i="4"/>
  <c r="F4" i="1"/>
  <c r="F5" i="1"/>
  <c r="G5" i="1" s="1"/>
  <c r="H5" i="1" s="1"/>
  <c r="F6" i="1"/>
  <c r="F7" i="1"/>
  <c r="F8" i="1"/>
  <c r="F9" i="1"/>
  <c r="F10" i="1"/>
  <c r="F11" i="1"/>
  <c r="F12" i="1"/>
  <c r="F13" i="1"/>
  <c r="G13" i="1" s="1"/>
  <c r="F14" i="1"/>
  <c r="F15" i="1"/>
  <c r="F16" i="1"/>
  <c r="F17" i="1"/>
  <c r="G17" i="1" s="1"/>
  <c r="F18" i="1"/>
  <c r="F19" i="1"/>
  <c r="F20" i="1"/>
  <c r="F21" i="1"/>
  <c r="G21" i="1" s="1"/>
  <c r="F22" i="1"/>
  <c r="F23" i="1"/>
  <c r="F24" i="1"/>
  <c r="F25" i="1"/>
  <c r="F26" i="1"/>
  <c r="E4" i="1"/>
  <c r="E5" i="1"/>
  <c r="E6" i="1"/>
  <c r="G6" i="1" s="1"/>
  <c r="H6" i="1" s="1"/>
  <c r="E7" i="1"/>
  <c r="G7" i="1" s="1"/>
  <c r="H7" i="1" s="1"/>
  <c r="E8" i="1"/>
  <c r="E9" i="1"/>
  <c r="E10" i="1"/>
  <c r="G10" i="1" s="1"/>
  <c r="E11" i="1"/>
  <c r="E12" i="1"/>
  <c r="E13" i="1"/>
  <c r="E14" i="1"/>
  <c r="G14" i="1" s="1"/>
  <c r="E15" i="1"/>
  <c r="E16" i="1"/>
  <c r="E17" i="1"/>
  <c r="E18" i="1"/>
  <c r="E19" i="1"/>
  <c r="E20" i="1"/>
  <c r="E21" i="1"/>
  <c r="E22" i="1"/>
  <c r="E23" i="1"/>
  <c r="E24" i="1"/>
  <c r="E25" i="1"/>
  <c r="G9" i="1"/>
  <c r="G26" i="1"/>
  <c r="F3" i="1"/>
  <c r="E3" i="1"/>
  <c r="H9" i="1"/>
  <c r="G4" i="1" l="1"/>
  <c r="H4" i="1" s="1"/>
  <c r="G22" i="1"/>
  <c r="G18" i="1"/>
  <c r="G20" i="1"/>
  <c r="G24" i="1"/>
  <c r="G16" i="1"/>
  <c r="G12" i="1"/>
  <c r="G8" i="1"/>
  <c r="H8" i="1" s="1"/>
  <c r="G25" i="1"/>
  <c r="G19" i="1"/>
  <c r="G15" i="1"/>
  <c r="A2" i="5"/>
  <c r="E13" i="4"/>
  <c r="E9" i="4"/>
  <c r="H9" i="4" s="1"/>
  <c r="E5" i="4"/>
  <c r="H5" i="4" s="1"/>
  <c r="E14" i="4"/>
  <c r="E10" i="4"/>
  <c r="H10" i="4" s="1"/>
  <c r="E6" i="4"/>
  <c r="H6" i="4" s="1"/>
  <c r="E12" i="4"/>
  <c r="E8" i="4"/>
  <c r="H8" i="4" s="1"/>
  <c r="E4" i="4"/>
  <c r="H4" i="4" s="1"/>
  <c r="E11" i="4"/>
  <c r="E7" i="4"/>
  <c r="H7" i="4" s="1"/>
  <c r="E3" i="4"/>
  <c r="H3" i="4" s="1"/>
  <c r="G23" i="1"/>
  <c r="G11" i="1"/>
  <c r="G3" i="1"/>
  <c r="H3" i="1" s="1"/>
  <c r="I3" i="4" l="1"/>
  <c r="J11" i="4"/>
  <c r="J8" i="4"/>
  <c r="J5" i="4"/>
  <c r="J2" i="4"/>
  <c r="J12" i="4"/>
  <c r="J9" i="4"/>
  <c r="J10" i="4"/>
  <c r="J6" i="4"/>
  <c r="J13" i="4"/>
  <c r="J7" i="4"/>
  <c r="J4" i="4"/>
  <c r="J14" i="4"/>
  <c r="J3" i="4"/>
  <c r="I10" i="4"/>
  <c r="I9" i="4"/>
  <c r="I13" i="4"/>
  <c r="I14" i="4"/>
  <c r="I2" i="4"/>
  <c r="I11" i="4"/>
  <c r="I4" i="4"/>
  <c r="I7" i="4"/>
  <c r="I1" i="4"/>
  <c r="I8" i="4"/>
  <c r="I12" i="4"/>
  <c r="I5" i="4"/>
  <c r="I6" i="4"/>
  <c r="J1" i="4"/>
  <c r="F2" i="4"/>
  <c r="F12" i="4"/>
  <c r="F10" i="4"/>
  <c r="F8" i="4"/>
  <c r="F11" i="4"/>
  <c r="F9" i="4"/>
  <c r="F13" i="4"/>
  <c r="F5" i="4"/>
  <c r="F7" i="4"/>
  <c r="F1" i="4"/>
  <c r="F6" i="4"/>
  <c r="F3" i="4"/>
  <c r="F4" i="4"/>
  <c r="F14" i="4"/>
  <c r="D5" i="3" l="1"/>
  <c r="B2" i="5" s="1"/>
  <c r="D6" i="3"/>
  <c r="C2" i="5" s="1"/>
  <c r="D7" i="3"/>
  <c r="D2" i="5" s="1"/>
  <c r="D10" i="3" l="1"/>
  <c r="F11" i="3" s="1"/>
  <c r="D9" i="3"/>
  <c r="D11" i="3"/>
  <c r="D8" i="3"/>
  <c r="F16" i="4"/>
  <c r="F15" i="4"/>
  <c r="F17" i="4"/>
</calcChain>
</file>

<file path=xl/sharedStrings.xml><?xml version="1.0" encoding="utf-8"?>
<sst xmlns="http://schemas.openxmlformats.org/spreadsheetml/2006/main" count="109" uniqueCount="40">
  <si>
    <t>Stok Grubu</t>
  </si>
  <si>
    <t>Stok Adı</t>
  </si>
  <si>
    <t>Stok Kodu</t>
  </si>
  <si>
    <t>Birimi</t>
  </si>
  <si>
    <t>Giren</t>
  </si>
  <si>
    <t>Çıkan</t>
  </si>
  <si>
    <t>Kalan</t>
  </si>
  <si>
    <t>Durumu</t>
  </si>
  <si>
    <t>Kasap</t>
  </si>
  <si>
    <t>KA001</t>
  </si>
  <si>
    <t>Tavuk</t>
  </si>
  <si>
    <t>Poşet</t>
  </si>
  <si>
    <t>KA002</t>
  </si>
  <si>
    <t>Hindi</t>
  </si>
  <si>
    <t>Kg</t>
  </si>
  <si>
    <t>Manav</t>
  </si>
  <si>
    <t>MA001</t>
  </si>
  <si>
    <t>Çilek</t>
  </si>
  <si>
    <t>Pirzola</t>
  </si>
  <si>
    <t>KA003</t>
  </si>
  <si>
    <t>Tarih</t>
  </si>
  <si>
    <t>Stok Grubu :</t>
  </si>
  <si>
    <t>Stok Kodu :</t>
  </si>
  <si>
    <t>Stok Adı :</t>
  </si>
  <si>
    <t>Birimi :</t>
  </si>
  <si>
    <t>Giren :</t>
  </si>
  <si>
    <t>Çıkan :</t>
  </si>
  <si>
    <t>Kalan :</t>
  </si>
  <si>
    <t>Durumu :</t>
  </si>
  <si>
    <t>Yeni Değerler</t>
  </si>
  <si>
    <t>Tarih :</t>
  </si>
  <si>
    <t>Gruplar</t>
  </si>
  <si>
    <t>Unlu Mamul</t>
  </si>
  <si>
    <t>UN001</t>
  </si>
  <si>
    <t>Ekmek</t>
  </si>
  <si>
    <t>Adet</t>
  </si>
  <si>
    <t>Kodlar</t>
  </si>
  <si>
    <t>MA002</t>
  </si>
  <si>
    <t>ELMA</t>
  </si>
  <si>
    <t>Stok Adları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</si>
</sst>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i/>
      <sz val="11"/>
      <color theme="0"/>
      <name val="Calibri"/>
      <family val="2"/>
      <charset val="162"/>
      <scheme val="minor"/>
    </font>
    <font>
      <sz val="11"/>
      <name val="Calibri"/>
      <family val="2"/>
      <charset val="16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2060"/>
        <bgColor indexed="64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1" fillId="2" borderId="1" xfId="1"/>
    <xf numFmtId="4" fontId="1" fillId="2" borderId="1" xfId="1" applyNumberFormat="1"/>
    <xf numFmtId="0" fontId="1" fillId="4" borderId="1" xfId="1" applyFill="1"/>
    <xf numFmtId="0" fontId="2" fillId="4" borderId="1" xfId="1" applyFont="1" applyFill="1"/>
    <xf numFmtId="4" fontId="2" fillId="4" borderId="1" xfId="1" applyNumberFormat="1" applyFont="1" applyFill="1"/>
    <xf numFmtId="0" fontId="0" fillId="0" borderId="0" xfId="0" applyFill="1"/>
    <xf numFmtId="0" fontId="1" fillId="8" borderId="1" xfId="1" applyFill="1"/>
    <xf numFmtId="4" fontId="1" fillId="8" borderId="1" xfId="1" applyNumberFormat="1" applyFill="1"/>
    <xf numFmtId="14" fontId="1" fillId="4" borderId="1" xfId="1" applyNumberFormat="1" applyFill="1"/>
    <xf numFmtId="14" fontId="1" fillId="8" borderId="1" xfId="1" applyNumberFormat="1" applyFill="1"/>
    <xf numFmtId="14" fontId="2" fillId="4" borderId="1" xfId="1" applyNumberFormat="1" applyFont="1" applyFill="1"/>
    <xf numFmtId="0" fontId="4" fillId="9" borderId="2" xfId="2" applyFont="1" applyFill="1" applyBorder="1"/>
    <xf numFmtId="0" fontId="5" fillId="5" borderId="2" xfId="2" applyFont="1" applyFill="1" applyBorder="1" applyAlignment="1">
      <alignment horizontal="left" indent="1"/>
    </xf>
    <xf numFmtId="4" fontId="5" fillId="5" borderId="2" xfId="2" applyNumberFormat="1" applyFont="1" applyFill="1" applyBorder="1" applyAlignment="1">
      <alignment horizontal="left" indent="1"/>
    </xf>
    <xf numFmtId="14" fontId="5" fillId="5" borderId="2" xfId="2" applyNumberFormat="1" applyFont="1" applyFill="1" applyBorder="1" applyAlignment="1">
      <alignment horizontal="left" indent="1"/>
    </xf>
    <xf numFmtId="0" fontId="5" fillId="5" borderId="9" xfId="2" applyFont="1" applyFill="1" applyBorder="1" applyAlignment="1">
      <alignment horizontal="left" indent="1"/>
    </xf>
    <xf numFmtId="0" fontId="0" fillId="6" borderId="3" xfId="0" applyFill="1" applyBorder="1"/>
    <xf numFmtId="0" fontId="0" fillId="6" borderId="17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0" xfId="0" applyFill="1" applyBorder="1"/>
    <xf numFmtId="0" fontId="0" fillId="0" borderId="0" xfId="0" applyBorder="1"/>
    <xf numFmtId="0" fontId="0" fillId="6" borderId="6" xfId="0" applyFill="1" applyBorder="1"/>
    <xf numFmtId="0" fontId="0" fillId="6" borderId="7" xfId="0" applyFill="1" applyBorder="1"/>
    <xf numFmtId="0" fontId="0" fillId="6" borderId="18" xfId="0" applyFill="1" applyBorder="1"/>
    <xf numFmtId="0" fontId="0" fillId="6" borderId="8" xfId="0" applyFill="1" applyBorder="1"/>
    <xf numFmtId="0" fontId="0" fillId="6" borderId="19" xfId="0" applyFill="1" applyBorder="1"/>
    <xf numFmtId="0" fontId="4" fillId="9" borderId="20" xfId="2" applyFont="1" applyFill="1" applyBorder="1"/>
    <xf numFmtId="0" fontId="4" fillId="3" borderId="10" xfId="2" applyFont="1" applyFill="1" applyBorder="1" applyAlignment="1">
      <alignment horizontal="center"/>
    </xf>
    <xf numFmtId="0" fontId="3" fillId="7" borderId="11" xfId="2" applyFill="1" applyBorder="1" applyAlignment="1">
      <alignment horizontal="center"/>
    </xf>
    <xf numFmtId="0" fontId="3" fillId="7" borderId="12" xfId="2" applyFill="1" applyBorder="1" applyAlignment="1">
      <alignment horizontal="center"/>
    </xf>
    <xf numFmtId="0" fontId="3" fillId="7" borderId="13" xfId="2" applyFill="1" applyBorder="1" applyAlignment="1">
      <alignment horizontal="center"/>
    </xf>
    <xf numFmtId="0" fontId="3" fillId="7" borderId="14" xfId="2" applyFill="1" applyBorder="1" applyAlignment="1">
      <alignment horizontal="center"/>
    </xf>
    <xf numFmtId="0" fontId="3" fillId="7" borderId="15" xfId="2" applyFill="1" applyBorder="1" applyAlignment="1">
      <alignment horizontal="center"/>
    </xf>
    <xf numFmtId="0" fontId="3" fillId="7" borderId="16" xfId="2" applyFill="1" applyBorder="1" applyAlignment="1">
      <alignment horizontal="center"/>
    </xf>
  </cellXfs>
  <cellStyles count="3">
    <cellStyle name="Açıklama Metni" xfId="2" builtinId="53"/>
    <cellStyle name="Hesaplama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22" fmlaLink="SABİTLER!$C$1" fmlaRange="Grupİsimleri" sel="3" val="0"/>
</file>

<file path=xl/ctrlProps/ctrlProp2.xml><?xml version="1.0" encoding="utf-8"?>
<formControlPr xmlns="http://schemas.microsoft.com/office/spreadsheetml/2009/9/main" objectType="List" dx="22" fmlaLink="SABİTLER!$G$1" fmlaRange="KodListesi" sel="1" val="0"/>
</file>

<file path=xl/ctrlProps/ctrlProp3.xml><?xml version="1.0" encoding="utf-8"?>
<formControlPr xmlns="http://schemas.microsoft.com/office/spreadsheetml/2009/9/main" objectType="List" dx="22" fmlaLink="SABİTLER!$G$1" fmlaRange="StokAdları" sel="1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293077</xdr:colOff>
      <xdr:row>2</xdr:row>
      <xdr:rowOff>168521</xdr:rowOff>
    </xdr:from>
    <xdr:to>
      <xdr:col>12</xdr:col>
      <xdr:colOff>51289</xdr:colOff>
      <xdr:row>10</xdr:row>
      <xdr:rowOff>175847</xdr:rowOff>
    </xdr:to>
    <xdr:sp macro="[0]!Makro8" textlink="">
      <xdr:nvSpPr>
        <xdr:cNvPr id="12" name="Dikdörtgen 11"/>
        <xdr:cNvSpPr/>
      </xdr:nvSpPr>
      <xdr:spPr>
        <a:xfrm>
          <a:off x="6909289" y="549521"/>
          <a:ext cx="2286000" cy="1560634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6</xdr:col>
      <xdr:colOff>249114</xdr:colOff>
      <xdr:row>2</xdr:row>
      <xdr:rowOff>183173</xdr:rowOff>
    </xdr:from>
    <xdr:to>
      <xdr:col>8</xdr:col>
      <xdr:colOff>161191</xdr:colOff>
      <xdr:row>11</xdr:row>
      <xdr:rowOff>0</xdr:rowOff>
    </xdr:to>
    <xdr:sp macro="[0]!ListeleGrup" textlink="">
      <xdr:nvSpPr>
        <xdr:cNvPr id="3" name="Dikdörtgen 2"/>
        <xdr:cNvSpPr/>
      </xdr:nvSpPr>
      <xdr:spPr>
        <a:xfrm>
          <a:off x="5246076" y="564173"/>
          <a:ext cx="1128346" cy="1531327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4</xdr:row>
          <xdr:rowOff>123825</xdr:rowOff>
        </xdr:from>
        <xdr:to>
          <xdr:col>7</xdr:col>
          <xdr:colOff>523875</xdr:colOff>
          <xdr:row>10</xdr:row>
          <xdr:rowOff>123825</xdr:rowOff>
        </xdr:to>
        <xdr:sp macro="" textlink="">
          <xdr:nvSpPr>
            <xdr:cNvPr id="3075" name="List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300404</xdr:colOff>
      <xdr:row>3</xdr:row>
      <xdr:rowOff>58616</xdr:rowOff>
    </xdr:from>
    <xdr:to>
      <xdr:col>8</xdr:col>
      <xdr:colOff>95250</xdr:colOff>
      <xdr:row>4</xdr:row>
      <xdr:rowOff>80596</xdr:rowOff>
    </xdr:to>
    <xdr:sp macro="[0]!ListeleGrup" textlink="">
      <xdr:nvSpPr>
        <xdr:cNvPr id="2" name="Dikdörtgen 1"/>
        <xdr:cNvSpPr/>
      </xdr:nvSpPr>
      <xdr:spPr>
        <a:xfrm>
          <a:off x="5297366" y="630116"/>
          <a:ext cx="1011115" cy="2124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900"/>
            <a:t>Grup seçiniz</a:t>
          </a:r>
        </a:p>
        <a:p>
          <a:pPr algn="l"/>
          <a:endParaRPr lang="tr-TR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4</xdr:row>
          <xdr:rowOff>57150</xdr:rowOff>
        </xdr:from>
        <xdr:to>
          <xdr:col>10</xdr:col>
          <xdr:colOff>142875</xdr:colOff>
          <xdr:row>10</xdr:row>
          <xdr:rowOff>114300</xdr:rowOff>
        </xdr:to>
        <xdr:sp macro="" textlink="">
          <xdr:nvSpPr>
            <xdr:cNvPr id="3077" name="List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4</xdr:row>
          <xdr:rowOff>57150</xdr:rowOff>
        </xdr:from>
        <xdr:to>
          <xdr:col>11</xdr:col>
          <xdr:colOff>561975</xdr:colOff>
          <xdr:row>10</xdr:row>
          <xdr:rowOff>114300</xdr:rowOff>
        </xdr:to>
        <xdr:sp macro="" textlink="">
          <xdr:nvSpPr>
            <xdr:cNvPr id="3078" name="List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172423</xdr:colOff>
      <xdr:row>3</xdr:row>
      <xdr:rowOff>51288</xdr:rowOff>
    </xdr:from>
    <xdr:to>
      <xdr:col>10</xdr:col>
      <xdr:colOff>601235</xdr:colOff>
      <xdr:row>4</xdr:row>
      <xdr:rowOff>13651</xdr:rowOff>
    </xdr:to>
    <xdr:sp macro="[0]!Makro8" textlink="">
      <xdr:nvSpPr>
        <xdr:cNvPr id="9" name="Dikdörtgen 8"/>
        <xdr:cNvSpPr/>
      </xdr:nvSpPr>
      <xdr:spPr>
        <a:xfrm>
          <a:off x="7492019" y="630115"/>
          <a:ext cx="1036947" cy="1601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900"/>
            <a:t>Kod seçiniz</a:t>
          </a:r>
        </a:p>
        <a:p>
          <a:pPr algn="ctr"/>
          <a:endParaRPr lang="tr-TR" sz="1050"/>
        </a:p>
      </xdr:txBody>
    </xdr:sp>
    <xdr:clientData/>
  </xdr:twoCellAnchor>
  <xdr:twoCellAnchor>
    <xdr:from>
      <xdr:col>4</xdr:col>
      <xdr:colOff>322384</xdr:colOff>
      <xdr:row>3</xdr:row>
      <xdr:rowOff>21982</xdr:rowOff>
    </xdr:from>
    <xdr:to>
      <xdr:col>5</xdr:col>
      <xdr:colOff>461595</xdr:colOff>
      <xdr:row>5</xdr:row>
      <xdr:rowOff>190501</xdr:rowOff>
    </xdr:to>
    <xdr:sp macro="[0]!Makro2" textlink="">
      <xdr:nvSpPr>
        <xdr:cNvPr id="8" name="Oval 7"/>
        <xdr:cNvSpPr/>
      </xdr:nvSpPr>
      <xdr:spPr>
        <a:xfrm>
          <a:off x="3458307" y="600809"/>
          <a:ext cx="1245576" cy="556846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900"/>
            <a:t>Hareketleri</a:t>
          </a:r>
          <a:r>
            <a:rPr lang="tr-TR" sz="900" baseline="0"/>
            <a:t> İşle</a:t>
          </a:r>
        </a:p>
        <a:p>
          <a:pPr algn="ctr"/>
          <a:endParaRPr lang="tr-TR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2:H26"/>
  <sheetViews>
    <sheetView showZeros="0" workbookViewId="0">
      <pane ySplit="2" topLeftCell="A3" activePane="bottomLeft" state="frozen"/>
      <selection pane="bottomLeft" activeCell="K16" sqref="K16"/>
    </sheetView>
  </sheetViews>
  <sheetFormatPr defaultRowHeight="15" x14ac:dyDescent="0.25"/>
  <cols>
    <col min="1" max="4" width="16.85546875" style="1" customWidth="1"/>
    <col min="5" max="7" width="16.85546875" style="2" customWidth="1"/>
    <col min="8" max="8" width="16.85546875" style="1" customWidth="1"/>
  </cols>
  <sheetData>
    <row r="2" spans="1:8" x14ac:dyDescent="0.25">
      <c r="A2" s="4" t="s">
        <v>0</v>
      </c>
      <c r="B2" s="4" t="s">
        <v>2</v>
      </c>
      <c r="C2" s="4" t="s">
        <v>1</v>
      </c>
      <c r="D2" s="4" t="s">
        <v>3</v>
      </c>
      <c r="E2" s="5" t="s">
        <v>4</v>
      </c>
      <c r="F2" s="5" t="s">
        <v>5</v>
      </c>
      <c r="G2" s="5" t="s">
        <v>6</v>
      </c>
      <c r="H2" s="4" t="s">
        <v>7</v>
      </c>
    </row>
    <row r="3" spans="1:8" x14ac:dyDescent="0.25">
      <c r="A3" s="1" t="s">
        <v>8</v>
      </c>
      <c r="B3" s="1" t="s">
        <v>9</v>
      </c>
      <c r="C3" s="1" t="s">
        <v>10</v>
      </c>
      <c r="D3" s="1" t="s">
        <v>11</v>
      </c>
      <c r="E3" s="2">
        <f>SUMIF('STOK HAREKETLERİ'!B:B,STOKLAR!B3,'STOK HAREKETLERİ'!E:E)</f>
        <v>180</v>
      </c>
      <c r="F3" s="2">
        <f>SUMIF('STOK HAREKETLERİ'!B:B,STOKLAR!B3,'STOK HAREKETLERİ'!F:F)</f>
        <v>50</v>
      </c>
      <c r="G3" s="2">
        <f>E3-F3</f>
        <v>130</v>
      </c>
      <c r="H3" s="1" t="str">
        <f>IF(A3="","",IF(G3&gt;E3/2,"Yarıdan Fazla",IF(G3&lt;1,"Bitti","Yarıdan Az")))</f>
        <v>Yarıdan Fazla</v>
      </c>
    </row>
    <row r="4" spans="1:8" x14ac:dyDescent="0.25">
      <c r="A4" s="1" t="s">
        <v>8</v>
      </c>
      <c r="B4" s="1" t="s">
        <v>12</v>
      </c>
      <c r="C4" s="1" t="s">
        <v>13</v>
      </c>
      <c r="D4" s="1" t="s">
        <v>14</v>
      </c>
      <c r="E4" s="2">
        <f>SUMIF('STOK HAREKETLERİ'!B:B,STOKLAR!B4,'STOK HAREKETLERİ'!E:E)</f>
        <v>0</v>
      </c>
      <c r="F4" s="2">
        <f>SUMIF('STOK HAREKETLERİ'!B:B,STOKLAR!B4,'STOK HAREKETLERİ'!F:F)</f>
        <v>0</v>
      </c>
      <c r="G4" s="2">
        <f t="shared" ref="G4:G8" si="0">E4-F4</f>
        <v>0</v>
      </c>
      <c r="H4" s="1" t="str">
        <f t="shared" ref="H4:H9" si="1">IF(A4="","",IF(G4&gt;E4/2,"Yarıdan Fazla",IF(G4&lt;1,"Bitti","Yarıdan Az")))</f>
        <v>Bitti</v>
      </c>
    </row>
    <row r="5" spans="1:8" x14ac:dyDescent="0.25">
      <c r="A5" s="1" t="s">
        <v>15</v>
      </c>
      <c r="B5" s="1" t="s">
        <v>16</v>
      </c>
      <c r="C5" s="1" t="s">
        <v>17</v>
      </c>
      <c r="D5" s="1" t="s">
        <v>14</v>
      </c>
      <c r="E5" s="2">
        <f>SUMIF('STOK HAREKETLERİ'!B:B,STOKLAR!B5,'STOK HAREKETLERİ'!E:E)</f>
        <v>680</v>
      </c>
      <c r="F5" s="2">
        <f>SUMIF('STOK HAREKETLERİ'!B:B,STOKLAR!B5,'STOK HAREKETLERİ'!F:F)</f>
        <v>100</v>
      </c>
      <c r="G5" s="2">
        <f t="shared" si="0"/>
        <v>580</v>
      </c>
      <c r="H5" s="1" t="str">
        <f t="shared" si="1"/>
        <v>Yarıdan Fazla</v>
      </c>
    </row>
    <row r="6" spans="1:8" x14ac:dyDescent="0.25">
      <c r="A6" s="1" t="s">
        <v>8</v>
      </c>
      <c r="B6" s="1" t="s">
        <v>19</v>
      </c>
      <c r="C6" s="1" t="s">
        <v>18</v>
      </c>
      <c r="D6" s="1" t="s">
        <v>14</v>
      </c>
      <c r="E6" s="2">
        <f>SUMIF('STOK HAREKETLERİ'!B:B,STOKLAR!B6,'STOK HAREKETLERİ'!E:E)</f>
        <v>0</v>
      </c>
      <c r="F6" s="2">
        <f>SUMIF('STOK HAREKETLERİ'!B:B,STOKLAR!B6,'STOK HAREKETLERİ'!F:F)</f>
        <v>0</v>
      </c>
      <c r="G6" s="2">
        <f t="shared" si="0"/>
        <v>0</v>
      </c>
      <c r="H6" s="1" t="str">
        <f t="shared" si="1"/>
        <v>Bitti</v>
      </c>
    </row>
    <row r="7" spans="1:8" x14ac:dyDescent="0.25">
      <c r="A7" s="1" t="s">
        <v>32</v>
      </c>
      <c r="B7" s="1" t="s">
        <v>33</v>
      </c>
      <c r="C7" s="1" t="s">
        <v>34</v>
      </c>
      <c r="D7" s="1" t="s">
        <v>35</v>
      </c>
      <c r="E7" s="2">
        <f>SUMIF('STOK HAREKETLERİ'!B:B,STOKLAR!B7,'STOK HAREKETLERİ'!E:E)</f>
        <v>0</v>
      </c>
      <c r="F7" s="2">
        <f>SUMIF('STOK HAREKETLERİ'!B:B,STOKLAR!B7,'STOK HAREKETLERİ'!F:F)</f>
        <v>0</v>
      </c>
      <c r="G7" s="2">
        <f t="shared" si="0"/>
        <v>0</v>
      </c>
      <c r="H7" s="1" t="str">
        <f t="shared" si="1"/>
        <v>Bitti</v>
      </c>
    </row>
    <row r="8" spans="1:8" x14ac:dyDescent="0.25">
      <c r="A8" s="1" t="s">
        <v>15</v>
      </c>
      <c r="B8" s="1" t="s">
        <v>37</v>
      </c>
      <c r="C8" s="1" t="s">
        <v>38</v>
      </c>
      <c r="D8" s="1" t="s">
        <v>14</v>
      </c>
      <c r="E8" s="2">
        <f>SUMIF('STOK HAREKETLERİ'!B:B,STOKLAR!B8,'STOK HAREKETLERİ'!E:E)</f>
        <v>0</v>
      </c>
      <c r="F8" s="2">
        <f>SUMIF('STOK HAREKETLERİ'!B:B,STOKLAR!B8,'STOK HAREKETLERİ'!F:F)</f>
        <v>0</v>
      </c>
      <c r="G8" s="2">
        <f t="shared" si="0"/>
        <v>0</v>
      </c>
      <c r="H8" s="1" t="str">
        <f t="shared" si="1"/>
        <v>Bitti</v>
      </c>
    </row>
    <row r="9" spans="1:8" x14ac:dyDescent="0.25">
      <c r="E9" s="2">
        <f>SUMIF('STOK HAREKETLERİ'!B:B,STOKLAR!B9,'STOK HAREKETLERİ'!E:E)</f>
        <v>0</v>
      </c>
      <c r="F9" s="2">
        <f>SUMIF('STOK HAREKETLERİ'!B:B,STOKLAR!B9,'STOK HAREKETLERİ'!F:F)</f>
        <v>0</v>
      </c>
      <c r="G9" s="2">
        <f t="shared" ref="G9:G26" si="2">E9-F9</f>
        <v>0</v>
      </c>
      <c r="H9" s="1" t="str">
        <f t="shared" si="1"/>
        <v/>
      </c>
    </row>
    <row r="10" spans="1:8" x14ac:dyDescent="0.25">
      <c r="E10" s="2">
        <f>SUMIF('STOK HAREKETLERİ'!B:B,STOKLAR!B10,'STOK HAREKETLERİ'!E:E)</f>
        <v>0</v>
      </c>
      <c r="F10" s="2">
        <f>SUMIF('STOK HAREKETLERİ'!B:B,STOKLAR!B10,'STOK HAREKETLERİ'!F:F)</f>
        <v>0</v>
      </c>
      <c r="G10" s="2">
        <f t="shared" si="2"/>
        <v>0</v>
      </c>
    </row>
    <row r="11" spans="1:8" x14ac:dyDescent="0.25">
      <c r="E11" s="2">
        <f>SUMIF('STOK HAREKETLERİ'!B:B,STOKLAR!B11,'STOK HAREKETLERİ'!E:E)</f>
        <v>0</v>
      </c>
      <c r="F11" s="2">
        <f>SUMIF('STOK HAREKETLERİ'!B:B,STOKLAR!B11,'STOK HAREKETLERİ'!F:F)</f>
        <v>0</v>
      </c>
      <c r="G11" s="2">
        <f t="shared" si="2"/>
        <v>0</v>
      </c>
    </row>
    <row r="12" spans="1:8" x14ac:dyDescent="0.25">
      <c r="E12" s="2">
        <f>SUMIF('STOK HAREKETLERİ'!B:B,STOKLAR!B12,'STOK HAREKETLERİ'!E:E)</f>
        <v>0</v>
      </c>
      <c r="F12" s="2">
        <f>SUMIF('STOK HAREKETLERİ'!B:B,STOKLAR!B12,'STOK HAREKETLERİ'!F:F)</f>
        <v>0</v>
      </c>
      <c r="G12" s="2">
        <f t="shared" si="2"/>
        <v>0</v>
      </c>
    </row>
    <row r="13" spans="1:8" x14ac:dyDescent="0.25">
      <c r="E13" s="2">
        <f>SUMIF('STOK HAREKETLERİ'!B:B,STOKLAR!B13,'STOK HAREKETLERİ'!E:E)</f>
        <v>0</v>
      </c>
      <c r="F13" s="2">
        <f>SUMIF('STOK HAREKETLERİ'!B:B,STOKLAR!B13,'STOK HAREKETLERİ'!F:F)</f>
        <v>0</v>
      </c>
      <c r="G13" s="2">
        <f t="shared" si="2"/>
        <v>0</v>
      </c>
    </row>
    <row r="14" spans="1:8" x14ac:dyDescent="0.25">
      <c r="E14" s="2">
        <f>SUMIF('STOK HAREKETLERİ'!B:B,STOKLAR!B14,'STOK HAREKETLERİ'!E:E)</f>
        <v>0</v>
      </c>
      <c r="F14" s="2">
        <f>SUMIF('STOK HAREKETLERİ'!B:B,STOKLAR!B14,'STOK HAREKETLERİ'!F:F)</f>
        <v>0</v>
      </c>
      <c r="G14" s="2">
        <f t="shared" si="2"/>
        <v>0</v>
      </c>
    </row>
    <row r="15" spans="1:8" x14ac:dyDescent="0.25">
      <c r="E15" s="2">
        <f>SUMIF('STOK HAREKETLERİ'!B:B,STOKLAR!B15,'STOK HAREKETLERİ'!E:E)</f>
        <v>0</v>
      </c>
      <c r="F15" s="2">
        <f>SUMIF('STOK HAREKETLERİ'!B:B,STOKLAR!B15,'STOK HAREKETLERİ'!F:F)</f>
        <v>0</v>
      </c>
      <c r="G15" s="2">
        <f t="shared" si="2"/>
        <v>0</v>
      </c>
    </row>
    <row r="16" spans="1:8" x14ac:dyDescent="0.25">
      <c r="E16" s="2">
        <f>SUMIF('STOK HAREKETLERİ'!B:B,STOKLAR!B16,'STOK HAREKETLERİ'!E:E)</f>
        <v>0</v>
      </c>
      <c r="F16" s="2">
        <f>SUMIF('STOK HAREKETLERİ'!B:B,STOKLAR!B16,'STOK HAREKETLERİ'!F:F)</f>
        <v>0</v>
      </c>
      <c r="G16" s="2">
        <f t="shared" si="2"/>
        <v>0</v>
      </c>
    </row>
    <row r="17" spans="5:7" x14ac:dyDescent="0.25">
      <c r="E17" s="2">
        <f>SUMIF('STOK HAREKETLERİ'!B:B,STOKLAR!B17,'STOK HAREKETLERİ'!E:E)</f>
        <v>0</v>
      </c>
      <c r="F17" s="2">
        <f>SUMIF('STOK HAREKETLERİ'!B:B,STOKLAR!B17,'STOK HAREKETLERİ'!F:F)</f>
        <v>0</v>
      </c>
      <c r="G17" s="2">
        <f t="shared" si="2"/>
        <v>0</v>
      </c>
    </row>
    <row r="18" spans="5:7" x14ac:dyDescent="0.25">
      <c r="E18" s="2">
        <f>SUMIF('STOK HAREKETLERİ'!B:B,STOKLAR!B18,'STOK HAREKETLERİ'!E:E)</f>
        <v>0</v>
      </c>
      <c r="F18" s="2">
        <f>SUMIF('STOK HAREKETLERİ'!B:B,STOKLAR!B18,'STOK HAREKETLERİ'!F:F)</f>
        <v>0</v>
      </c>
      <c r="G18" s="2">
        <f t="shared" si="2"/>
        <v>0</v>
      </c>
    </row>
    <row r="19" spans="5:7" x14ac:dyDescent="0.25">
      <c r="E19" s="2">
        <f>SUMIF('STOK HAREKETLERİ'!B:B,STOKLAR!B19,'STOK HAREKETLERİ'!E:E)</f>
        <v>0</v>
      </c>
      <c r="F19" s="2">
        <f>SUMIF('STOK HAREKETLERİ'!B:B,STOKLAR!B19,'STOK HAREKETLERİ'!F:F)</f>
        <v>0</v>
      </c>
      <c r="G19" s="2">
        <f t="shared" si="2"/>
        <v>0</v>
      </c>
    </row>
    <row r="20" spans="5:7" x14ac:dyDescent="0.25">
      <c r="E20" s="2">
        <f>SUMIF('STOK HAREKETLERİ'!B:B,STOKLAR!B20,'STOK HAREKETLERİ'!E:E)</f>
        <v>0</v>
      </c>
      <c r="F20" s="2">
        <f>SUMIF('STOK HAREKETLERİ'!B:B,STOKLAR!B20,'STOK HAREKETLERİ'!F:F)</f>
        <v>0</v>
      </c>
      <c r="G20" s="2">
        <f t="shared" si="2"/>
        <v>0</v>
      </c>
    </row>
    <row r="21" spans="5:7" x14ac:dyDescent="0.25">
      <c r="E21" s="2">
        <f>SUMIF('STOK HAREKETLERİ'!B:B,STOKLAR!B21,'STOK HAREKETLERİ'!E:E)</f>
        <v>0</v>
      </c>
      <c r="F21" s="2">
        <f>SUMIF('STOK HAREKETLERİ'!B:B,STOKLAR!B21,'STOK HAREKETLERİ'!F:F)</f>
        <v>0</v>
      </c>
      <c r="G21" s="2">
        <f t="shared" si="2"/>
        <v>0</v>
      </c>
    </row>
    <row r="22" spans="5:7" x14ac:dyDescent="0.25">
      <c r="E22" s="2">
        <f>SUMIF('STOK HAREKETLERİ'!B:B,STOKLAR!B22,'STOK HAREKETLERİ'!E:E)</f>
        <v>0</v>
      </c>
      <c r="F22" s="2">
        <f>SUMIF('STOK HAREKETLERİ'!B:B,STOKLAR!B22,'STOK HAREKETLERİ'!F:F)</f>
        <v>0</v>
      </c>
      <c r="G22" s="2">
        <f t="shared" si="2"/>
        <v>0</v>
      </c>
    </row>
    <row r="23" spans="5:7" x14ac:dyDescent="0.25">
      <c r="E23" s="2">
        <f>SUMIF('STOK HAREKETLERİ'!B:B,STOKLAR!B23,'STOK HAREKETLERİ'!E:E)</f>
        <v>0</v>
      </c>
      <c r="F23" s="2">
        <f>SUMIF('STOK HAREKETLERİ'!B:B,STOKLAR!B23,'STOK HAREKETLERİ'!F:F)</f>
        <v>0</v>
      </c>
      <c r="G23" s="2">
        <f t="shared" si="2"/>
        <v>0</v>
      </c>
    </row>
    <row r="24" spans="5:7" x14ac:dyDescent="0.25">
      <c r="E24" s="2">
        <f>SUMIF('STOK HAREKETLERİ'!B:B,STOKLAR!B24,'STOK HAREKETLERİ'!E:E)</f>
        <v>0</v>
      </c>
      <c r="F24" s="2">
        <f>SUMIF('STOK HAREKETLERİ'!B:B,STOKLAR!B24,'STOK HAREKETLERİ'!F:F)</f>
        <v>0</v>
      </c>
      <c r="G24" s="2">
        <f t="shared" si="2"/>
        <v>0</v>
      </c>
    </row>
    <row r="25" spans="5:7" x14ac:dyDescent="0.25">
      <c r="E25" s="2">
        <f>SUMIF('STOK HAREKETLERİ'!B:B,STOKLAR!B25,'STOK HAREKETLERİ'!E:E)</f>
        <v>0</v>
      </c>
      <c r="F25" s="2">
        <f>SUMIF('STOK HAREKETLERİ'!B:B,STOKLAR!B25,'STOK HAREKETLERİ'!F:F)</f>
        <v>0</v>
      </c>
      <c r="G25" s="2">
        <f t="shared" si="2"/>
        <v>0</v>
      </c>
    </row>
    <row r="26" spans="5:7" x14ac:dyDescent="0.25">
      <c r="F26" s="2">
        <f>SUMIF('STOK HAREKETLERİ'!B:B,STOKLAR!B26,'STOK HAREKETLERİ'!F:F)</f>
        <v>0</v>
      </c>
      <c r="G26" s="2">
        <f t="shared" si="2"/>
        <v>0</v>
      </c>
    </row>
  </sheetData>
  <autoFilter ref="A2:H2"/>
  <dataValidations count="1">
    <dataValidation type="custom" allowBlank="1" showInputMessage="1" showErrorMessage="1" errorTitle="Hata Mesajı" error="Bu Kod Mevcut Lütfen Başka Bir Kod Giriniz" sqref="B3:B20">
      <formula1>COUNTIF(B:B,B3)=1</formula1>
    </dataValidation>
  </dataValidations>
  <pageMargins left="0.7" right="0.7" top="0.75" bottom="0.75" header="0.3" footer="0.3"/>
  <pageSetup paperSize="9"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G17"/>
  <sheetViews>
    <sheetView workbookViewId="0">
      <selection sqref="A1:G1048576"/>
    </sheetView>
  </sheetViews>
  <sheetFormatPr defaultRowHeight="15" x14ac:dyDescent="0.25"/>
  <cols>
    <col min="1" max="6" width="18.42578125" style="3" customWidth="1"/>
    <col min="7" max="7" width="18.42578125" style="9" customWidth="1"/>
  </cols>
  <sheetData>
    <row r="1" spans="1:7" s="6" customFormat="1" x14ac:dyDescent="0.25">
      <c r="A1" s="7" t="s">
        <v>0</v>
      </c>
      <c r="B1" s="7" t="s">
        <v>2</v>
      </c>
      <c r="C1" s="7" t="s">
        <v>1</v>
      </c>
      <c r="D1" s="7" t="s">
        <v>3</v>
      </c>
      <c r="E1" s="8" t="s">
        <v>4</v>
      </c>
      <c r="F1" s="8" t="s">
        <v>5</v>
      </c>
      <c r="G1" s="10" t="s">
        <v>20</v>
      </c>
    </row>
    <row r="2" spans="1:7" x14ac:dyDescent="0.25">
      <c r="A2" s="4" t="s">
        <v>8</v>
      </c>
      <c r="B2" s="4" t="s">
        <v>9</v>
      </c>
      <c r="C2" s="4" t="s">
        <v>10</v>
      </c>
      <c r="D2" s="4" t="s">
        <v>11</v>
      </c>
      <c r="E2" s="4">
        <v>100</v>
      </c>
      <c r="F2" s="4"/>
      <c r="G2" s="11">
        <v>43191</v>
      </c>
    </row>
    <row r="3" spans="1:7" x14ac:dyDescent="0.25">
      <c r="A3" s="4" t="s">
        <v>8</v>
      </c>
      <c r="B3" s="4" t="s">
        <v>9</v>
      </c>
      <c r="C3" s="4" t="s">
        <v>10</v>
      </c>
      <c r="D3" s="4" t="s">
        <v>11</v>
      </c>
      <c r="E3" s="4"/>
      <c r="F3" s="4">
        <v>20</v>
      </c>
      <c r="G3" s="11">
        <v>43191</v>
      </c>
    </row>
    <row r="4" spans="1:7" x14ac:dyDescent="0.25">
      <c r="A4" s="4" t="s">
        <v>8</v>
      </c>
      <c r="B4" s="4" t="s">
        <v>9</v>
      </c>
      <c r="C4" s="4" t="s">
        <v>10</v>
      </c>
      <c r="D4" s="4" t="s">
        <v>11</v>
      </c>
      <c r="E4" s="4"/>
      <c r="F4" s="4">
        <v>30</v>
      </c>
      <c r="G4" s="11">
        <v>43192</v>
      </c>
    </row>
    <row r="5" spans="1:7" x14ac:dyDescent="0.25">
      <c r="A5" s="4" t="s">
        <v>15</v>
      </c>
      <c r="B5" s="4" t="s">
        <v>16</v>
      </c>
      <c r="C5" s="4" t="s">
        <v>17</v>
      </c>
      <c r="D5" s="4" t="s">
        <v>14</v>
      </c>
      <c r="E5" s="4">
        <v>400</v>
      </c>
      <c r="F5" s="4"/>
      <c r="G5" s="11">
        <v>43192</v>
      </c>
    </row>
    <row r="6" spans="1:7" x14ac:dyDescent="0.25">
      <c r="A6" s="4" t="s">
        <v>15</v>
      </c>
      <c r="B6" s="4" t="s">
        <v>16</v>
      </c>
      <c r="C6" s="4" t="s">
        <v>17</v>
      </c>
      <c r="D6" s="4" t="s">
        <v>14</v>
      </c>
      <c r="E6" s="4"/>
      <c r="F6" s="4">
        <v>100</v>
      </c>
      <c r="G6" s="11">
        <v>43193</v>
      </c>
    </row>
    <row r="7" spans="1:7" x14ac:dyDescent="0.25">
      <c r="A7" s="4" t="s">
        <v>15</v>
      </c>
      <c r="B7" s="4" t="s">
        <v>16</v>
      </c>
      <c r="C7" s="4" t="s">
        <v>17</v>
      </c>
      <c r="D7" s="4" t="s">
        <v>14</v>
      </c>
      <c r="E7" s="4">
        <v>200</v>
      </c>
      <c r="F7" s="4">
        <v>0</v>
      </c>
      <c r="G7" s="11">
        <v>43191</v>
      </c>
    </row>
    <row r="8" spans="1:7" x14ac:dyDescent="0.25">
      <c r="A8" s="4" t="s">
        <v>15</v>
      </c>
      <c r="B8" s="4" t="s">
        <v>16</v>
      </c>
      <c r="C8" s="4" t="s">
        <v>17</v>
      </c>
      <c r="D8" s="4" t="s">
        <v>14</v>
      </c>
      <c r="E8" s="4">
        <v>80</v>
      </c>
      <c r="F8" s="4">
        <v>0</v>
      </c>
      <c r="G8" s="11">
        <v>43192</v>
      </c>
    </row>
    <row r="9" spans="1:7" x14ac:dyDescent="0.25">
      <c r="A9" s="4" t="s">
        <v>8</v>
      </c>
      <c r="B9" s="4" t="s">
        <v>9</v>
      </c>
      <c r="C9" s="4" t="s">
        <v>10</v>
      </c>
      <c r="D9" s="4" t="s">
        <v>11</v>
      </c>
      <c r="E9" s="4">
        <v>80</v>
      </c>
      <c r="F9" s="4">
        <v>0</v>
      </c>
      <c r="G9" s="11">
        <v>43192</v>
      </c>
    </row>
    <row r="10" spans="1:7" x14ac:dyDescent="0.25">
      <c r="A10" s="4"/>
      <c r="B10" s="4"/>
      <c r="C10" s="4"/>
      <c r="D10" s="4"/>
      <c r="E10" s="4"/>
      <c r="F10" s="4"/>
      <c r="G10" s="11"/>
    </row>
    <row r="11" spans="1:7" x14ac:dyDescent="0.25">
      <c r="A11" s="4"/>
      <c r="B11" s="4"/>
      <c r="C11" s="4"/>
      <c r="D11" s="4"/>
      <c r="E11" s="4"/>
      <c r="F11" s="4"/>
      <c r="G11" s="11"/>
    </row>
    <row r="12" spans="1:7" x14ac:dyDescent="0.25">
      <c r="A12" s="4"/>
      <c r="B12" s="4"/>
      <c r="C12" s="4"/>
      <c r="D12" s="4"/>
      <c r="E12" s="4"/>
      <c r="F12" s="4"/>
      <c r="G12" s="11"/>
    </row>
    <row r="13" spans="1:7" x14ac:dyDescent="0.25">
      <c r="A13" s="4"/>
      <c r="B13" s="4"/>
      <c r="C13" s="4"/>
      <c r="D13" s="4"/>
      <c r="E13" s="4"/>
      <c r="F13" s="4"/>
      <c r="G13" s="11"/>
    </row>
    <row r="14" spans="1:7" x14ac:dyDescent="0.25">
      <c r="A14" s="4"/>
      <c r="B14" s="4"/>
      <c r="C14" s="4"/>
      <c r="D14" s="4"/>
      <c r="E14" s="4"/>
      <c r="F14" s="4"/>
      <c r="G14" s="11"/>
    </row>
    <row r="15" spans="1:7" x14ac:dyDescent="0.25">
      <c r="A15" s="4"/>
      <c r="B15" s="4"/>
      <c r="C15" s="4"/>
      <c r="D15" s="4"/>
      <c r="E15" s="4"/>
      <c r="F15" s="4"/>
      <c r="G15" s="11"/>
    </row>
    <row r="16" spans="1:7" x14ac:dyDescent="0.25">
      <c r="A16" s="4"/>
      <c r="B16" s="4"/>
      <c r="C16" s="4"/>
      <c r="D16" s="4"/>
      <c r="E16" s="4"/>
      <c r="F16" s="4"/>
      <c r="G16" s="11"/>
    </row>
    <row r="17" spans="1:7" x14ac:dyDescent="0.25">
      <c r="A17" s="4"/>
      <c r="B17" s="4"/>
      <c r="C17" s="4"/>
      <c r="D17" s="4"/>
      <c r="E17" s="4"/>
      <c r="F17" s="4"/>
      <c r="G17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/>
  <dimension ref="A1:M29"/>
  <sheetViews>
    <sheetView tabSelected="1" zoomScale="130" zoomScaleNormal="130" workbookViewId="0">
      <selection activeCell="C14" sqref="C14"/>
    </sheetView>
  </sheetViews>
  <sheetFormatPr defaultRowHeight="15" x14ac:dyDescent="0.25"/>
  <cols>
    <col min="1" max="1" width="10.28515625" customWidth="1"/>
    <col min="2" max="2" width="9.7109375" customWidth="1"/>
    <col min="3" max="3" width="11.7109375" customWidth="1"/>
    <col min="4" max="4" width="17" customWidth="1"/>
    <col min="5" max="5" width="16.5703125" customWidth="1"/>
    <col min="6" max="6" width="11.28515625" customWidth="1"/>
    <col min="7" max="7" width="11.7109375" customWidth="1"/>
    <col min="8" max="8" width="10.7109375" customWidth="1"/>
    <col min="9" max="9" width="10.5703125" customWidth="1"/>
  </cols>
  <sheetData>
    <row r="1" spans="1:13" x14ac:dyDescent="0.25">
      <c r="A1" s="7" t="s">
        <v>0</v>
      </c>
      <c r="B1" s="7" t="s">
        <v>2</v>
      </c>
      <c r="C1" s="7" t="s">
        <v>1</v>
      </c>
      <c r="D1" s="7" t="s">
        <v>3</v>
      </c>
      <c r="E1" s="8" t="s">
        <v>4</v>
      </c>
      <c r="F1" s="8" t="s">
        <v>5</v>
      </c>
      <c r="G1" s="10" t="s">
        <v>20</v>
      </c>
    </row>
    <row r="2" spans="1:13" x14ac:dyDescent="0.25">
      <c r="A2" s="16" t="s">
        <v>32</v>
      </c>
      <c r="B2" s="4"/>
      <c r="C2" s="4"/>
      <c r="D2" s="4"/>
      <c r="E2" s="4"/>
      <c r="F2" s="4"/>
      <c r="G2" s="11"/>
    </row>
    <row r="3" spans="1:13" ht="15.75" thickBot="1" x14ac:dyDescent="0.3"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9"/>
    </row>
    <row r="4" spans="1:13" ht="15.75" thickTop="1" x14ac:dyDescent="0.25">
      <c r="B4" s="20"/>
      <c r="C4" s="12" t="s">
        <v>21</v>
      </c>
      <c r="D4" s="16" t="str">
        <f>INDEX(Grupİsimleri,SABİTLER!C1,1)</f>
        <v>Unlu Mamul</v>
      </c>
      <c r="E4" s="30"/>
      <c r="F4" s="31"/>
      <c r="G4" s="21"/>
      <c r="H4" s="22"/>
      <c r="I4" s="21"/>
      <c r="J4" s="22"/>
      <c r="K4" s="22"/>
      <c r="L4" s="22"/>
      <c r="M4" s="23"/>
    </row>
    <row r="5" spans="1:13" x14ac:dyDescent="0.25">
      <c r="B5" s="20"/>
      <c r="C5" s="12" t="s">
        <v>22</v>
      </c>
      <c r="D5" s="16" t="str">
        <f>INDEX(KodListesi,SABİTLER!G1,1)</f>
        <v>UN001</v>
      </c>
      <c r="E5" s="32"/>
      <c r="F5" s="33"/>
      <c r="G5" s="21"/>
      <c r="H5" s="22"/>
      <c r="I5" s="21"/>
      <c r="J5" s="22"/>
      <c r="K5" s="22"/>
      <c r="L5" s="22"/>
      <c r="M5" s="23"/>
    </row>
    <row r="6" spans="1:13" ht="15.75" thickBot="1" x14ac:dyDescent="0.3">
      <c r="B6" s="20"/>
      <c r="C6" s="12" t="s">
        <v>23</v>
      </c>
      <c r="D6" s="16" t="str">
        <f>INDEX(StokAdları,SABİTLER!G1)</f>
        <v>Ekmek</v>
      </c>
      <c r="E6" s="34"/>
      <c r="F6" s="35"/>
      <c r="G6" s="21"/>
      <c r="H6" s="22"/>
      <c r="I6" s="21"/>
      <c r="J6" s="22"/>
      <c r="K6" s="22"/>
      <c r="L6" s="22"/>
      <c r="M6" s="23"/>
    </row>
    <row r="7" spans="1:13" ht="15.75" thickTop="1" x14ac:dyDescent="0.25">
      <c r="B7" s="20"/>
      <c r="C7" s="12" t="s">
        <v>24</v>
      </c>
      <c r="D7" s="13" t="str">
        <f>INDEX(StokBirimleri,SABİTLER!G1)</f>
        <v>Adet</v>
      </c>
      <c r="E7" s="29" t="s">
        <v>29</v>
      </c>
      <c r="F7" s="29"/>
      <c r="G7" s="21"/>
      <c r="H7" s="22"/>
      <c r="I7" s="21"/>
      <c r="J7" s="22"/>
      <c r="K7" s="22"/>
      <c r="L7" s="22"/>
      <c r="M7" s="23"/>
    </row>
    <row r="8" spans="1:13" x14ac:dyDescent="0.25">
      <c r="B8" s="20"/>
      <c r="C8" s="28" t="s">
        <v>25</v>
      </c>
      <c r="D8" s="14">
        <f>VLOOKUP(D5,StokListesi,4,FALSE)</f>
        <v>0</v>
      </c>
      <c r="E8" s="12" t="s">
        <v>30</v>
      </c>
      <c r="F8" s="15">
        <v>43192</v>
      </c>
      <c r="G8" s="21"/>
      <c r="H8" s="22"/>
      <c r="I8" s="21"/>
      <c r="J8" s="22"/>
      <c r="K8" s="22"/>
      <c r="L8" s="22"/>
      <c r="M8" s="23"/>
    </row>
    <row r="9" spans="1:13" x14ac:dyDescent="0.25">
      <c r="B9" s="20"/>
      <c r="C9" s="12" t="s">
        <v>26</v>
      </c>
      <c r="D9" s="14">
        <f>VLOOKUP(D5,StokListesi,5,FALSE)</f>
        <v>0</v>
      </c>
      <c r="E9" s="12" t="s">
        <v>25</v>
      </c>
      <c r="F9" s="14">
        <v>80</v>
      </c>
      <c r="G9" s="21"/>
      <c r="H9" s="22"/>
      <c r="I9" s="21"/>
      <c r="J9" s="22"/>
      <c r="K9" s="22"/>
      <c r="L9" s="22"/>
      <c r="M9" s="23"/>
    </row>
    <row r="10" spans="1:13" x14ac:dyDescent="0.25">
      <c r="B10" s="20"/>
      <c r="C10" s="12" t="s">
        <v>27</v>
      </c>
      <c r="D10" s="14">
        <f>VLOOKUP(D5,StokListesi,6,FALSE)</f>
        <v>0</v>
      </c>
      <c r="E10" s="12" t="s">
        <v>26</v>
      </c>
      <c r="F10" s="14"/>
      <c r="G10" s="21"/>
      <c r="H10" s="22"/>
      <c r="I10" s="21"/>
      <c r="J10" s="22"/>
      <c r="K10" s="22"/>
      <c r="L10" s="22"/>
      <c r="M10" s="23"/>
    </row>
    <row r="11" spans="1:13" x14ac:dyDescent="0.25">
      <c r="B11" s="27"/>
      <c r="C11" s="12" t="s">
        <v>28</v>
      </c>
      <c r="D11" s="13" t="str">
        <f>VLOOKUP(D5,StokListesi,7,FALSE)</f>
        <v>Bitti</v>
      </c>
      <c r="E11" s="12" t="s">
        <v>27</v>
      </c>
      <c r="F11" s="14">
        <f>D10+F9-F10</f>
        <v>80</v>
      </c>
      <c r="G11" s="21"/>
      <c r="H11" s="22"/>
      <c r="I11" s="21"/>
      <c r="J11" s="22"/>
      <c r="K11" s="22"/>
      <c r="L11" s="22"/>
      <c r="M11" s="23"/>
    </row>
    <row r="12" spans="1:13" x14ac:dyDescent="0.25">
      <c r="B12" s="24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6"/>
    </row>
    <row r="13" spans="1:13" x14ac:dyDescent="0.25">
      <c r="C13" s="7" t="s">
        <v>0</v>
      </c>
      <c r="D13" s="7" t="s">
        <v>2</v>
      </c>
      <c r="E13" s="7" t="s">
        <v>1</v>
      </c>
      <c r="F13" s="7" t="s">
        <v>3</v>
      </c>
      <c r="G13" s="8" t="s">
        <v>4</v>
      </c>
      <c r="H13" s="8" t="s">
        <v>5</v>
      </c>
      <c r="I13" s="10" t="s">
        <v>20</v>
      </c>
    </row>
    <row r="14" spans="1:13" x14ac:dyDescent="0.25">
      <c r="C14" s="4"/>
      <c r="D14" s="4"/>
      <c r="E14" s="4"/>
      <c r="F14" s="4"/>
      <c r="G14" s="4"/>
      <c r="H14" s="4"/>
      <c r="I14" s="11"/>
    </row>
    <row r="15" spans="1:13" x14ac:dyDescent="0.25">
      <c r="C15" s="4"/>
      <c r="D15" s="4"/>
      <c r="E15" s="4"/>
      <c r="F15" s="4"/>
      <c r="G15" s="4"/>
      <c r="H15" s="4"/>
      <c r="I15" s="11"/>
    </row>
    <row r="16" spans="1:13" x14ac:dyDescent="0.25">
      <c r="C16" s="4"/>
      <c r="D16" s="4"/>
      <c r="E16" s="4"/>
      <c r="F16" s="4"/>
      <c r="G16" s="4"/>
      <c r="H16" s="4"/>
      <c r="I16" s="11"/>
    </row>
    <row r="17" spans="3:9" x14ac:dyDescent="0.25">
      <c r="C17" s="4"/>
      <c r="D17" s="4"/>
      <c r="E17" s="4"/>
      <c r="F17" s="4"/>
      <c r="G17" s="4"/>
      <c r="H17" s="4"/>
      <c r="I17" s="11"/>
    </row>
    <row r="18" spans="3:9" x14ac:dyDescent="0.25">
      <c r="C18" s="4"/>
      <c r="D18" s="4"/>
      <c r="E18" s="4"/>
      <c r="F18" s="4"/>
      <c r="G18" s="4"/>
      <c r="H18" s="4"/>
      <c r="I18" s="11"/>
    </row>
    <row r="19" spans="3:9" x14ac:dyDescent="0.25">
      <c r="C19" s="4"/>
      <c r="D19" s="4"/>
      <c r="E19" s="4"/>
      <c r="F19" s="4"/>
      <c r="G19" s="4"/>
      <c r="H19" s="4"/>
      <c r="I19" s="11"/>
    </row>
    <row r="20" spans="3:9" x14ac:dyDescent="0.25">
      <c r="C20" s="4"/>
      <c r="D20" s="4"/>
      <c r="E20" s="4"/>
      <c r="F20" s="4"/>
      <c r="G20" s="4"/>
      <c r="H20" s="4"/>
      <c r="I20" s="11"/>
    </row>
    <row r="21" spans="3:9" x14ac:dyDescent="0.25">
      <c r="C21" s="4"/>
      <c r="D21" s="4"/>
      <c r="E21" s="4"/>
      <c r="F21" s="4"/>
      <c r="G21" s="4"/>
      <c r="H21" s="4"/>
      <c r="I21" s="11"/>
    </row>
    <row r="22" spans="3:9" x14ac:dyDescent="0.25">
      <c r="C22" s="4"/>
      <c r="D22" s="4"/>
      <c r="E22" s="4"/>
      <c r="F22" s="4"/>
      <c r="G22" s="4"/>
      <c r="H22" s="4"/>
      <c r="I22" s="11"/>
    </row>
    <row r="23" spans="3:9" x14ac:dyDescent="0.25">
      <c r="C23" s="4"/>
      <c r="D23" s="4"/>
      <c r="E23" s="4"/>
      <c r="F23" s="4"/>
      <c r="G23" s="4"/>
      <c r="H23" s="4"/>
      <c r="I23" s="11"/>
    </row>
    <row r="24" spans="3:9" x14ac:dyDescent="0.25">
      <c r="C24" s="4"/>
      <c r="D24" s="4"/>
      <c r="E24" s="4"/>
      <c r="F24" s="4"/>
      <c r="G24" s="4"/>
      <c r="H24" s="4"/>
      <c r="I24" s="11"/>
    </row>
    <row r="25" spans="3:9" x14ac:dyDescent="0.25">
      <c r="C25" s="4"/>
      <c r="D25" s="4"/>
      <c r="E25" s="4"/>
      <c r="F25" s="4"/>
      <c r="G25" s="4"/>
      <c r="H25" s="4"/>
      <c r="I25" s="11"/>
    </row>
    <row r="26" spans="3:9" x14ac:dyDescent="0.25">
      <c r="C26" s="4"/>
      <c r="D26" s="4"/>
      <c r="E26" s="4"/>
      <c r="F26" s="4"/>
      <c r="G26" s="4"/>
      <c r="H26" s="4"/>
      <c r="I26" s="11"/>
    </row>
    <row r="27" spans="3:9" x14ac:dyDescent="0.25">
      <c r="C27" s="4"/>
      <c r="D27" s="4"/>
      <c r="E27" s="4"/>
      <c r="F27" s="4"/>
      <c r="G27" s="4"/>
      <c r="H27" s="4"/>
      <c r="I27" s="11"/>
    </row>
    <row r="28" spans="3:9" x14ac:dyDescent="0.25">
      <c r="C28" s="4"/>
      <c r="D28" s="4"/>
      <c r="E28" s="4"/>
      <c r="F28" s="4"/>
      <c r="G28" s="4"/>
      <c r="H28" s="4"/>
      <c r="I28" s="11"/>
    </row>
    <row r="29" spans="3:9" x14ac:dyDescent="0.25">
      <c r="C29" s="4"/>
      <c r="D29" s="4"/>
      <c r="E29" s="4"/>
      <c r="F29" s="4"/>
      <c r="G29" s="4"/>
      <c r="H29" s="4"/>
      <c r="I29" s="11"/>
    </row>
  </sheetData>
  <mergeCells count="2">
    <mergeCell ref="E7:F7"/>
    <mergeCell ref="E4:F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List Box 3">
              <controlPr defaultSize="0" autoLine="0" autoPict="0" macro="[0]!ListeleGrup">
                <anchor moveWithCells="1">
                  <from>
                    <xdr:col>6</xdr:col>
                    <xdr:colOff>285750</xdr:colOff>
                    <xdr:row>4</xdr:row>
                    <xdr:rowOff>123825</xdr:rowOff>
                  </from>
                  <to>
                    <xdr:col>7</xdr:col>
                    <xdr:colOff>523875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List Box 5">
              <controlPr defaultSize="0" autoLine="0" autoPict="0" macro="[0]!Makro8">
                <anchor moveWithCells="1">
                  <from>
                    <xdr:col>8</xdr:col>
                    <xdr:colOff>428625</xdr:colOff>
                    <xdr:row>4</xdr:row>
                    <xdr:rowOff>57150</xdr:rowOff>
                  </from>
                  <to>
                    <xdr:col>10</xdr:col>
                    <xdr:colOff>142875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List Box 6">
              <controlPr defaultSize="0" autoLine="0" autoPict="0" macro="[0]!Makro8">
                <anchor moveWithCells="1">
                  <from>
                    <xdr:col>10</xdr:col>
                    <xdr:colOff>142875</xdr:colOff>
                    <xdr:row>4</xdr:row>
                    <xdr:rowOff>57150</xdr:rowOff>
                  </from>
                  <to>
                    <xdr:col>11</xdr:col>
                    <xdr:colOff>561975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J17"/>
  <sheetViews>
    <sheetView zoomScale="145" zoomScaleNormal="145" workbookViewId="0">
      <selection activeCell="E8" sqref="E8"/>
    </sheetView>
  </sheetViews>
  <sheetFormatPr defaultRowHeight="15" x14ac:dyDescent="0.25"/>
  <cols>
    <col min="2" max="2" width="13" customWidth="1"/>
    <col min="3" max="3" width="4.7109375" customWidth="1"/>
    <col min="7" max="7" width="4.28515625" customWidth="1"/>
    <col min="8" max="8" width="10.28515625" customWidth="1"/>
    <col min="9" max="9" width="11" customWidth="1"/>
  </cols>
  <sheetData>
    <row r="1" spans="1:10" x14ac:dyDescent="0.25">
      <c r="A1" t="s">
        <v>31</v>
      </c>
      <c r="B1" t="str">
        <f>IFERROR(INDEX(STOKLAR!A:A,SMALL(SABİTLER!A:A,ROW(A1)),1),"")</f>
        <v>Kasap</v>
      </c>
      <c r="C1">
        <v>3</v>
      </c>
      <c r="E1" t="s">
        <v>36</v>
      </c>
      <c r="F1" t="str">
        <f>IFERROR(INDEX(STOKLAR!B:B,SMALL(SABİTLER!E:E,ROW(A1)),1),"")</f>
        <v>UN001</v>
      </c>
      <c r="G1">
        <v>1</v>
      </c>
      <c r="H1" t="s">
        <v>39</v>
      </c>
      <c r="I1" t="str">
        <f>IFERROR(INDEX(STOKLAR!C:C,SMALL(SABİTLER!H:H,ROW(A1)),1),"")</f>
        <v>Ekmek</v>
      </c>
      <c r="J1" t="str">
        <f>IFERROR(INDEX(STOKLAR!D:D,SMALL(SABİTLER!H:H,ROW(A1)),1),"")</f>
        <v>Adet</v>
      </c>
    </row>
    <row r="2" spans="1:10" x14ac:dyDescent="0.25">
      <c r="A2">
        <f>IF(COUNTIF(STOKLAR!$A$3:A3,STOKLAR!A3)=1,ROW(A3),"")</f>
        <v>3</v>
      </c>
      <c r="B2" t="str">
        <f>IFERROR(INDEX(STOKLAR!A:A,SMALL(SABİTLER!A:A,ROW(A2)),1),"")</f>
        <v>Manav</v>
      </c>
      <c r="E2" t="str">
        <f>IF('GİRİŞ-ÇIKIŞ'!$D$4=STOKLAR!A3,ROW(A3),"")</f>
        <v/>
      </c>
      <c r="F2" t="str">
        <f>IFERROR(INDEX(STOKLAR!B:B,SMALL(SABİTLER!E:E,ROW(A2)),1),"")</f>
        <v/>
      </c>
      <c r="H2" t="str">
        <f>IF(E2&gt;0,E2,"")</f>
        <v/>
      </c>
      <c r="I2" t="str">
        <f>IFERROR(INDEX(STOKLAR!C:C,SMALL(SABİTLER!H:H,ROW(A2)),1),"")</f>
        <v/>
      </c>
      <c r="J2" t="str">
        <f>IFERROR(INDEX(STOKLAR!D:D,SMALL(SABİTLER!H:H,ROW(A2)),1),"")</f>
        <v/>
      </c>
    </row>
    <row r="3" spans="1:10" x14ac:dyDescent="0.25">
      <c r="A3" t="str">
        <f>IF(COUNTIF(STOKLAR!$A$3:A4,STOKLAR!A4)=1,ROW(A4),"")</f>
        <v/>
      </c>
      <c r="B3" t="str">
        <f>IFERROR(INDEX(STOKLAR!A:A,SMALL(SABİTLER!A:A,ROW(A3)),1),"")</f>
        <v>Unlu Mamul</v>
      </c>
      <c r="E3" t="str">
        <f>IF('GİRİŞ-ÇIKIŞ'!$D$4=STOKLAR!A4,ROW(A4),"")</f>
        <v/>
      </c>
      <c r="F3" t="str">
        <f>IFERROR(INDEX(STOKLAR!B:B,SMALL(SABİTLER!E:E,ROW(A3)),1),"")</f>
        <v/>
      </c>
      <c r="H3" t="str">
        <f t="shared" ref="H3:H10" si="0">IF(E3&gt;0,E3,"")</f>
        <v/>
      </c>
      <c r="I3" t="str">
        <f>IFERROR(INDEX(STOKLAR!C:C,SMALL(SABİTLER!H:H,ROW(A3)),1),"")</f>
        <v/>
      </c>
      <c r="J3" t="str">
        <f>IFERROR(INDEX(STOKLAR!D:D,SMALL(SABİTLER!H:H,ROW(A3)),1),"")</f>
        <v/>
      </c>
    </row>
    <row r="4" spans="1:10" x14ac:dyDescent="0.25">
      <c r="A4">
        <f>IF(COUNTIF(STOKLAR!$A$3:A5,STOKLAR!A5)=1,ROW(A5),"")</f>
        <v>5</v>
      </c>
      <c r="B4" t="str">
        <f>IFERROR(INDEX(STOKLAR!A:A,SMALL(SABİTLER!A:A,ROW(A4)),1),"")</f>
        <v/>
      </c>
      <c r="E4" t="str">
        <f>IF('GİRİŞ-ÇIKIŞ'!$D$4=STOKLAR!A5,ROW(A5),"")</f>
        <v/>
      </c>
      <c r="F4" t="str">
        <f>IFERROR(INDEX(STOKLAR!B:B,SMALL(SABİTLER!E:E,ROW(A4)),1),"")</f>
        <v/>
      </c>
      <c r="H4" t="str">
        <f t="shared" si="0"/>
        <v/>
      </c>
      <c r="I4" t="str">
        <f>IFERROR(INDEX(STOKLAR!C:C,SMALL(SABİTLER!H:H,ROW(A4)),1),"")</f>
        <v/>
      </c>
      <c r="J4" t="str">
        <f>IFERROR(INDEX(STOKLAR!D:D,SMALL(SABİTLER!H:H,ROW(A4)),1),"")</f>
        <v/>
      </c>
    </row>
    <row r="5" spans="1:10" x14ac:dyDescent="0.25">
      <c r="A5" t="str">
        <f>IF(COUNTIF(STOKLAR!$A$3:A6,STOKLAR!A6)=1,ROW(A6),"")</f>
        <v/>
      </c>
      <c r="B5" t="str">
        <f>IFERROR(INDEX(STOKLAR!A:A,SMALL(SABİTLER!A:A,ROW(A5)),1),"")</f>
        <v/>
      </c>
      <c r="E5" t="str">
        <f>IF('GİRİŞ-ÇIKIŞ'!$D$4=STOKLAR!A6,ROW(A6),"")</f>
        <v/>
      </c>
      <c r="F5" t="str">
        <f>IFERROR(INDEX(STOKLAR!B:B,SMALL(SABİTLER!E:E,ROW(A5)),1),"")</f>
        <v/>
      </c>
      <c r="H5" t="str">
        <f t="shared" si="0"/>
        <v/>
      </c>
      <c r="I5" t="str">
        <f>IFERROR(INDEX(STOKLAR!C:C,SMALL(SABİTLER!H:H,ROW(A5)),1),"")</f>
        <v/>
      </c>
      <c r="J5" t="str">
        <f>IFERROR(INDEX(STOKLAR!D:D,SMALL(SABİTLER!H:H,ROW(A5)),1),"")</f>
        <v/>
      </c>
    </row>
    <row r="6" spans="1:10" x14ac:dyDescent="0.25">
      <c r="A6">
        <f>IF(COUNTIF(STOKLAR!$A$3:A7,STOKLAR!A7)=1,ROW(A7),"")</f>
        <v>7</v>
      </c>
      <c r="B6" t="str">
        <f>IFERROR(INDEX(STOKLAR!A:A,SMALL(SABİTLER!A:A,ROW(A6)),1),"")</f>
        <v/>
      </c>
      <c r="E6">
        <f>IF('GİRİŞ-ÇIKIŞ'!$D$4=STOKLAR!A7,ROW(A7),"")</f>
        <v>7</v>
      </c>
      <c r="F6" t="str">
        <f>IFERROR(INDEX(STOKLAR!B:B,SMALL(SABİTLER!E:E,ROW(A6)),1),"")</f>
        <v/>
      </c>
      <c r="H6">
        <f t="shared" si="0"/>
        <v>7</v>
      </c>
      <c r="I6" t="str">
        <f>IFERROR(INDEX(STOKLAR!C:C,SMALL(SABİTLER!H:H,ROW(A6)),1),"")</f>
        <v/>
      </c>
      <c r="J6" t="str">
        <f>IFERROR(INDEX(STOKLAR!D:D,SMALL(SABİTLER!H:H,ROW(A6)),1),"")</f>
        <v/>
      </c>
    </row>
    <row r="7" spans="1:10" x14ac:dyDescent="0.25">
      <c r="A7" t="str">
        <f>IF(COUNTIF(STOKLAR!$A$3:A8,STOKLAR!A8)=1,ROW(A8),"")</f>
        <v/>
      </c>
      <c r="B7" t="str">
        <f>IFERROR(INDEX(STOKLAR!A:A,SMALL(SABİTLER!A:A,ROW(A7)),1),"")</f>
        <v/>
      </c>
      <c r="E7" t="str">
        <f>IF('GİRİŞ-ÇIKIŞ'!$D$4=STOKLAR!A8,ROW(A8),"")</f>
        <v/>
      </c>
      <c r="F7" t="str">
        <f>IFERROR(INDEX(STOKLAR!B:B,SMALL(SABİTLER!E:E,ROW(A7)),1),"")</f>
        <v/>
      </c>
      <c r="H7" t="str">
        <f t="shared" si="0"/>
        <v/>
      </c>
      <c r="I7" t="str">
        <f>IFERROR(INDEX(STOKLAR!C:C,SMALL(SABİTLER!H:H,ROW(A7)),1),"")</f>
        <v/>
      </c>
      <c r="J7" t="str">
        <f>IFERROR(INDEX(STOKLAR!D:D,SMALL(SABİTLER!H:H,ROW(A7)),1),"")</f>
        <v/>
      </c>
    </row>
    <row r="8" spans="1:10" x14ac:dyDescent="0.25">
      <c r="A8" t="str">
        <f>IF(COUNTIF(STOKLAR!$A$3:A9,STOKLAR!A9)=1,ROW(A9),"")</f>
        <v/>
      </c>
      <c r="B8" t="str">
        <f>IFERROR(INDEX(STOKLAR!A:A,SMALL(SABİTLER!A:A,ROW(A8)),1),"")</f>
        <v/>
      </c>
      <c r="E8" t="str">
        <f>IF('GİRİŞ-ÇIKIŞ'!$D$4=STOKLAR!A9,ROW(A9),"")</f>
        <v/>
      </c>
      <c r="F8" t="str">
        <f>IFERROR(INDEX(STOKLAR!B:B,SMALL(SABİTLER!E:E,ROW(A8)),1),"")</f>
        <v/>
      </c>
      <c r="H8" t="str">
        <f t="shared" si="0"/>
        <v/>
      </c>
      <c r="I8" t="str">
        <f>IFERROR(INDEX(STOKLAR!C:C,SMALL(SABİTLER!H:H,ROW(A8)),1),"")</f>
        <v/>
      </c>
      <c r="J8" t="str">
        <f>IFERROR(INDEX(STOKLAR!D:D,SMALL(SABİTLER!H:H,ROW(A8)),1),"")</f>
        <v/>
      </c>
    </row>
    <row r="9" spans="1:10" x14ac:dyDescent="0.25">
      <c r="A9" t="str">
        <f>IF(COUNTIF(STOKLAR!$A$3:A10,STOKLAR!A10)=1,ROW(A10),"")</f>
        <v/>
      </c>
      <c r="B9" t="str">
        <f>IFERROR(INDEX(STOKLAR!A:A,SMALL(SABİTLER!A:A,ROW(A9)),1),"")</f>
        <v/>
      </c>
      <c r="E9" t="str">
        <f>IF('GİRİŞ-ÇIKIŞ'!$D$4=STOKLAR!A10,ROW(A10),"")</f>
        <v/>
      </c>
      <c r="F9" t="str">
        <f>IFERROR(INDEX(STOKLAR!B:B,SMALL(SABİTLER!E:E,ROW(A9)),1),"")</f>
        <v/>
      </c>
      <c r="H9" t="str">
        <f t="shared" si="0"/>
        <v/>
      </c>
      <c r="I9" t="str">
        <f>IFERROR(INDEX(STOKLAR!C:C,SMALL(SABİTLER!H:H,ROW(A9)),1),"")</f>
        <v/>
      </c>
      <c r="J9" t="str">
        <f>IFERROR(INDEX(STOKLAR!D:D,SMALL(SABİTLER!H:H,ROW(A9)),1),"")</f>
        <v/>
      </c>
    </row>
    <row r="10" spans="1:10" x14ac:dyDescent="0.25">
      <c r="A10" t="str">
        <f>IF(COUNTIF(STOKLAR!$A$3:A11,STOKLAR!A11)=1,ROW(A11),"")</f>
        <v/>
      </c>
      <c r="B10" t="str">
        <f>IFERROR(INDEX(STOKLAR!A:A,SMALL(SABİTLER!A:A,ROW(A10)),1),"")</f>
        <v/>
      </c>
      <c r="E10" t="str">
        <f>IF('GİRİŞ-ÇIKIŞ'!$D$4=STOKLAR!A11,ROW(A11),"")</f>
        <v/>
      </c>
      <c r="F10" t="str">
        <f>IFERROR(INDEX(STOKLAR!B:B,SMALL(SABİTLER!E:E,ROW(A10)),1),"")</f>
        <v/>
      </c>
      <c r="H10" t="str">
        <f t="shared" si="0"/>
        <v/>
      </c>
      <c r="I10" t="str">
        <f>IFERROR(INDEX(STOKLAR!C:C,SMALL(SABİTLER!H:H,ROW(A10)),1),"")</f>
        <v/>
      </c>
      <c r="J10" t="str">
        <f>IFERROR(INDEX(STOKLAR!D:D,SMALL(SABİTLER!H:H,ROW(A10)),1),"")</f>
        <v/>
      </c>
    </row>
    <row r="11" spans="1:10" x14ac:dyDescent="0.25">
      <c r="A11" t="str">
        <f>IF(COUNTIF(STOKLAR!$A$3:A12,STOKLAR!A12)=1,ROW(A12),"")</f>
        <v/>
      </c>
      <c r="B11" t="str">
        <f>IFERROR(INDEX(STOKLAR!A:A,SMALL(SABİTLER!A:A,ROW(A11)),1),"")</f>
        <v/>
      </c>
      <c r="E11" t="str">
        <f>IF('GİRİŞ-ÇIKIŞ'!$D$4=STOKLAR!A12,ROW(A12),"")</f>
        <v/>
      </c>
      <c r="F11" t="str">
        <f>IFERROR(INDEX(STOKLAR!B:B,SMALL(SABİTLER!E:E,ROW(A11)),1),"")</f>
        <v/>
      </c>
      <c r="I11" t="str">
        <f>IFERROR(INDEX(STOKLAR!C:C,SMALL(SABİTLER!H:H,ROW(A11)),1),"")</f>
        <v/>
      </c>
      <c r="J11" t="str">
        <f>IFERROR(INDEX(STOKLAR!D:D,SMALL(SABİTLER!H:H,ROW(A11)),1),"")</f>
        <v/>
      </c>
    </row>
    <row r="12" spans="1:10" x14ac:dyDescent="0.25">
      <c r="A12" t="str">
        <f>IF(COUNTIF(STOKLAR!$A$3:A13,STOKLAR!A13)=1,ROW(A13),"")</f>
        <v/>
      </c>
      <c r="B12" t="str">
        <f>IFERROR(INDEX(STOKLAR!A:A,SMALL(SABİTLER!A:A,ROW(A12)),1),"")</f>
        <v/>
      </c>
      <c r="E12" t="str">
        <f>IF('GİRİŞ-ÇIKIŞ'!$D$4=STOKLAR!A13,ROW(A13),"")</f>
        <v/>
      </c>
      <c r="F12" t="str">
        <f>IFERROR(INDEX(STOKLAR!B:B,SMALL(SABİTLER!E:E,ROW(A12)),1),"")</f>
        <v/>
      </c>
      <c r="I12" t="str">
        <f>IFERROR(INDEX(STOKLAR!C:C,SMALL(SABİTLER!H:H,ROW(A12)),1),"")</f>
        <v/>
      </c>
      <c r="J12" t="str">
        <f>IFERROR(INDEX(STOKLAR!D:D,SMALL(SABİTLER!H:H,ROW(A12)),1),"")</f>
        <v/>
      </c>
    </row>
    <row r="13" spans="1:10" x14ac:dyDescent="0.25">
      <c r="A13" t="str">
        <f>IF(COUNTIF(STOKLAR!$A$3:A14,STOKLAR!A14)=1,ROW(A14),"")</f>
        <v/>
      </c>
      <c r="B13" t="str">
        <f>IFERROR(INDEX(STOKLAR!A:A,SMALL(SABİTLER!A:A,ROW(A13)),1),"")</f>
        <v/>
      </c>
      <c r="E13" t="str">
        <f>IF('GİRİŞ-ÇIKIŞ'!$D$4=STOKLAR!A14,ROW(A14),"")</f>
        <v/>
      </c>
      <c r="F13" t="str">
        <f>IFERROR(INDEX(STOKLAR!B:B,SMALL(SABİTLER!E:E,ROW(A13)),1),"")</f>
        <v/>
      </c>
      <c r="I13" t="str">
        <f>IFERROR(INDEX(STOKLAR!C:C,SMALL(SABİTLER!H:H,ROW(A13)),1),"")</f>
        <v/>
      </c>
      <c r="J13" t="str">
        <f>IFERROR(INDEX(STOKLAR!D:D,SMALL(SABİTLER!H:H,ROW(A13)),1),"")</f>
        <v/>
      </c>
    </row>
    <row r="14" spans="1:10" x14ac:dyDescent="0.25">
      <c r="B14" t="str">
        <f>IFERROR(INDEX(STOKLAR!A:A,SMALL(SABİTLER!A:A,ROW(A14)),1),"")</f>
        <v/>
      </c>
      <c r="E14" t="str">
        <f>IF('GİRİŞ-ÇIKIŞ'!$D$4=STOKLAR!A15,ROW(A15),"")</f>
        <v/>
      </c>
      <c r="F14" t="str">
        <f>IFERROR(INDEX(STOKLAR!B:B,SMALL(SABİTLER!E:E,ROW(A14)),1),"")</f>
        <v/>
      </c>
      <c r="I14" t="str">
        <f>IFERROR(INDEX(STOKLAR!C:C,SMALL(SABİTLER!H:H,ROW(A14)),1),"")</f>
        <v/>
      </c>
      <c r="J14" t="str">
        <f>IFERROR(INDEX(STOKLAR!D:D,SMALL(SABİTLER!H:H,ROW(A14)),1),"")</f>
        <v/>
      </c>
    </row>
    <row r="15" spans="1:10" x14ac:dyDescent="0.25">
      <c r="B15" t="str">
        <f>IFERROR(INDEX(STOKLAR!A:A,SMALL(SABİTLER!A:A,ROW(A15)),1),"")</f>
        <v/>
      </c>
      <c r="F15" t="str">
        <f ca="1">IFERROR(INDEX(STOKLAR!B:B,SMALL(KodListesi,ROW(A15)),1),"")</f>
        <v/>
      </c>
    </row>
    <row r="16" spans="1:10" x14ac:dyDescent="0.25">
      <c r="F16" t="str">
        <f ca="1">IFERROR(INDEX(STOKLAR!B:B,SMALL(KodListesi,ROW(A16)),1),"")</f>
        <v/>
      </c>
    </row>
    <row r="17" spans="6:6" x14ac:dyDescent="0.25">
      <c r="F17" t="str">
        <f ca="1">IFERROR(INDEX(STOKLAR!B:B,SMALL(KodListesi,ROW(A17)),1),"")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G2"/>
  <sheetViews>
    <sheetView workbookViewId="0">
      <selection activeCell="A2" sqref="A2:G2"/>
    </sheetView>
  </sheetViews>
  <sheetFormatPr defaultRowHeight="15" x14ac:dyDescent="0.25"/>
  <cols>
    <col min="1" max="7" width="14.7109375" customWidth="1"/>
  </cols>
  <sheetData>
    <row r="1" spans="1:7" x14ac:dyDescent="0.25">
      <c r="A1" s="7" t="s">
        <v>0</v>
      </c>
      <c r="B1" s="7" t="s">
        <v>2</v>
      </c>
      <c r="C1" s="7" t="s">
        <v>1</v>
      </c>
      <c r="D1" s="7" t="s">
        <v>3</v>
      </c>
      <c r="E1" s="8" t="s">
        <v>4</v>
      </c>
      <c r="F1" s="8" t="s">
        <v>5</v>
      </c>
      <c r="G1" s="10" t="s">
        <v>20</v>
      </c>
    </row>
    <row r="2" spans="1:7" x14ac:dyDescent="0.25">
      <c r="A2" s="4" t="str">
        <f>'GİRİŞ-ÇIKIŞ'!D4</f>
        <v>Unlu Mamul</v>
      </c>
      <c r="B2" s="4" t="str">
        <f>'GİRİŞ-ÇIKIŞ'!D5</f>
        <v>UN001</v>
      </c>
      <c r="C2" s="4" t="str">
        <f>'GİRİŞ-ÇIKIŞ'!D6</f>
        <v>Ekmek</v>
      </c>
      <c r="D2" s="4" t="str">
        <f>'GİRİŞ-ÇIKIŞ'!D7</f>
        <v>Adet</v>
      </c>
      <c r="E2" s="5">
        <f>'GİRİŞ-ÇIKIŞ'!F9</f>
        <v>80</v>
      </c>
      <c r="F2" s="5">
        <f>'GİRİŞ-ÇIKIŞ'!F10</f>
        <v>0</v>
      </c>
      <c r="G2" s="11">
        <f>'GİRİŞ-ÇIKIŞ'!F8</f>
        <v>43192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10</vt:i4>
      </vt:variant>
    </vt:vector>
  </HeadingPairs>
  <TitlesOfParts>
    <vt:vector size="15" baseType="lpstr">
      <vt:lpstr>STOKLAR</vt:lpstr>
      <vt:lpstr>STOK HAREKETLERİ</vt:lpstr>
      <vt:lpstr>GİRİŞ-ÇIKIŞ</vt:lpstr>
      <vt:lpstr>SABİTLER</vt:lpstr>
      <vt:lpstr>Kayıt</vt:lpstr>
      <vt:lpstr>'GİRİŞ-ÇIKIŞ'!Ayıkla</vt:lpstr>
      <vt:lpstr>Grupİsimleri</vt:lpstr>
      <vt:lpstr>KodListesi</vt:lpstr>
      <vt:lpstr>Kriter</vt:lpstr>
      <vt:lpstr>ListeAdı</vt:lpstr>
      <vt:lpstr>'GİRİŞ-ÇIKIŞ'!Olcut</vt:lpstr>
      <vt:lpstr>StokAdları</vt:lpstr>
      <vt:lpstr>StokBirimleri</vt:lpstr>
      <vt:lpstr>StokHListesi</vt:lpstr>
      <vt:lpstr>StokListesi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Sefa Aksüngü</dc:creator>
  <cp:lastModifiedBy>Sefa Aksüngü</cp:lastModifiedBy>
  <dcterms:created xsi:type="dcterms:W3CDTF">2018-10-27T07:45:54Z</dcterms:created>
  <dcterms:modified xsi:type="dcterms:W3CDTF">2021-03-21T14:52:22Z</dcterms:modified>
</cp:coreProperties>
</file>